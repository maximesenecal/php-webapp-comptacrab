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/>
  <bookViews>
    <workbookView xWindow="0" yWindow="0" windowWidth="20490" windowHeight="7755"/>
  </bookViews>
  <sheets>
    <sheet name="Rapprochement bancaire" sheetId="1" r:id="rId1"/>
  </sheets>
  <definedNames>
    <definedName name="Année">'Rapprochement bancaire'!$D$5</definedName>
    <definedName name="Description_segment">#N/A</definedName>
    <definedName name="Mois">'Rapprochement bancaire'!$D$3</definedName>
    <definedName name="Segment_pour">#N/A</definedName>
    <definedName name="SoldeFinal">'Rapprochement bancaire'!$E$3</definedName>
  </definedNames>
  <calcPr calcId="152511" iterateDelta="1E-4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</x15:slicerCaches>
    </ext>
  </extLst>
</workbook>
</file>

<file path=xl/calcChain.xml><?xml version="1.0" encoding="utf-8"?>
<calcChain xmlns="http://schemas.openxmlformats.org/spreadsheetml/2006/main">
  <c r="B9" i="1" l="1"/>
  <c r="B10" i="1"/>
  <c r="B11" i="1"/>
  <c r="B12" i="1"/>
  <c r="D22" i="1" l="1"/>
  <c r="F5" i="1" s="1"/>
  <c r="D13" i="1"/>
  <c r="F3" i="1" s="1"/>
  <c r="E5" i="1" l="1"/>
</calcChain>
</file>

<file path=xl/sharedStrings.xml><?xml version="1.0" encoding="utf-8"?>
<sst xmlns="http://schemas.openxmlformats.org/spreadsheetml/2006/main" count="47" uniqueCount="36">
  <si>
    <r>
      <rPr>
        <sz val="9"/>
        <color rgb="FF000000" tint="0.34998626667073579"/>
        <rFont val="Euphemia"/>
        <family val="2"/>
      </rPr>
      <t>MOIS</t>
    </r>
  </si>
  <si>
    <r>
      <rPr>
        <sz val="9"/>
        <color rgb="FF000000" tint="0.34998626667073579"/>
        <rFont val="Euphemia"/>
        <family val="2"/>
      </rPr>
      <t>SOLDE PRÉCÉDENT</t>
    </r>
  </si>
  <si>
    <r>
      <rPr>
        <sz val="9"/>
        <color rgb="FF000000" tint="0.34998626667073579"/>
        <rFont val="Euphemia"/>
        <family val="2"/>
      </rPr>
      <t>TOTAL DÉPÔTS</t>
    </r>
  </si>
  <si>
    <r>
      <rPr>
        <b/>
        <sz val="15"/>
        <color rgb="FF000000" tint="0.34998626667073579"/>
        <rFont val="Euphemia"/>
        <family val="2"/>
      </rPr>
      <t>JUIN</t>
    </r>
  </si>
  <si>
    <r>
      <rPr>
        <sz val="9"/>
        <color rgb="FF000000" tint="0.34998626667073579"/>
        <rFont val="Euphemia"/>
        <family val="2"/>
      </rPr>
      <t>ANNÉE</t>
    </r>
  </si>
  <si>
    <r>
      <rPr>
        <sz val="9"/>
        <color rgb="FF000000" tint="0.34998626667073579"/>
        <rFont val="Euphemia"/>
        <family val="2"/>
      </rPr>
      <t>SOLDE FINAL</t>
    </r>
  </si>
  <si>
    <r>
      <rPr>
        <sz val="9"/>
        <color rgb="FF000000" tint="0.34998626667073579"/>
        <rFont val="Euphemia"/>
        <family val="2"/>
      </rPr>
      <t>TOTAL RETRAITS</t>
    </r>
  </si>
  <si>
    <r>
      <rPr>
        <sz val="10"/>
        <color rgb="FF000000"/>
        <rFont val="Trebuchet MS"/>
        <family val="2"/>
      </rPr>
      <t xml:space="preserve"> </t>
    </r>
  </si>
  <si>
    <r>
      <rPr>
        <sz val="18"/>
        <color rgb="FF38A657"/>
        <rFont val="Euphemia"/>
        <family val="2"/>
      </rPr>
      <t>dépôts</t>
    </r>
  </si>
  <si>
    <r>
      <rPr>
        <sz val="10"/>
        <color rgb="FF000000"/>
        <rFont val="Trebuchet MS"/>
        <family val="2"/>
      </rPr>
      <t xml:space="preserve"> </t>
    </r>
  </si>
  <si>
    <r>
      <rPr>
        <sz val="18"/>
        <color rgb="FF3A6E8C"/>
        <rFont val="Euphemia"/>
        <family val="2"/>
      </rPr>
      <t>retraits</t>
    </r>
  </si>
  <si>
    <t>type</t>
  </si>
  <si>
    <t>n° dépôt</t>
  </si>
  <si>
    <t>TOTAL</t>
  </si>
  <si>
    <r>
      <rPr>
        <sz val="10"/>
        <color theme="0"/>
        <rFont val="Trebuchet MS"/>
        <family val="2"/>
      </rPr>
      <t>date</t>
    </r>
  </si>
  <si>
    <r>
      <rPr>
        <sz val="10"/>
        <color theme="0"/>
        <rFont val="Trebuchet MS"/>
        <family val="2"/>
      </rPr>
      <t>montant</t>
    </r>
  </si>
  <si>
    <r>
      <rPr>
        <sz val="10"/>
        <color theme="0"/>
        <rFont val="Trebuchet MS"/>
        <family val="2"/>
      </rPr>
      <t>description</t>
    </r>
  </si>
  <si>
    <r>
      <rPr>
        <sz val="10"/>
        <color theme="0"/>
        <rFont val="Trebuchet MS"/>
        <family val="2"/>
      </rPr>
      <t>rapprochement</t>
    </r>
  </si>
  <si>
    <r>
      <rPr>
        <sz val="10"/>
        <color theme="0"/>
        <rFont val="Trebuchet MS"/>
        <family val="2"/>
      </rPr>
      <t>tâche 1, chèque 1</t>
    </r>
  </si>
  <si>
    <r>
      <rPr>
        <sz val="10"/>
        <color theme="0"/>
        <rFont val="Trebuchet MS"/>
        <family val="2"/>
      </rPr>
      <t>oui</t>
    </r>
  </si>
  <si>
    <r>
      <rPr>
        <sz val="10"/>
        <color theme="0"/>
        <rFont val="Trebuchet MS"/>
        <family val="2"/>
      </rPr>
      <t>tâche 2, chèque 1</t>
    </r>
  </si>
  <si>
    <r>
      <rPr>
        <sz val="10"/>
        <color theme="0"/>
        <rFont val="Trebuchet MS"/>
        <family val="2"/>
      </rPr>
      <t>tâche 1, chèque 2</t>
    </r>
  </si>
  <si>
    <r>
      <rPr>
        <sz val="10"/>
        <color theme="0"/>
        <rFont val="Trebuchet MS"/>
        <family val="2"/>
      </rPr>
      <t>tâche 2, chèque 2</t>
    </r>
  </si>
  <si>
    <r>
      <rPr>
        <sz val="10"/>
        <color theme="0"/>
        <rFont val="Trebuchet MS"/>
        <family val="2"/>
      </rPr>
      <t>pour</t>
    </r>
  </si>
  <si>
    <r>
      <rPr>
        <sz val="10"/>
        <color theme="0"/>
        <rFont val="Trebuchet MS"/>
        <family val="2"/>
      </rPr>
      <t>chèque 1001</t>
    </r>
  </si>
  <si>
    <r>
      <rPr>
        <sz val="10"/>
        <color theme="0"/>
        <rFont val="Trebuchet MS"/>
        <family val="2"/>
      </rPr>
      <t>électricité</t>
    </r>
  </si>
  <si>
    <r>
      <rPr>
        <sz val="10"/>
        <color theme="0"/>
        <rFont val="Trebuchet MS"/>
        <family val="2"/>
      </rPr>
      <t>chèque 1002</t>
    </r>
  </si>
  <si>
    <r>
      <rPr>
        <sz val="10"/>
        <color theme="0"/>
        <rFont val="Trebuchet MS"/>
        <family val="2"/>
      </rPr>
      <t>eau/assainissement/déchets</t>
    </r>
  </si>
  <si>
    <r>
      <rPr>
        <sz val="10"/>
        <color theme="0"/>
        <rFont val="Trebuchet MS"/>
        <family val="2"/>
      </rPr>
      <t>chèque 1003</t>
    </r>
  </si>
  <si>
    <r>
      <rPr>
        <sz val="10"/>
        <color theme="0"/>
        <rFont val="Trebuchet MS"/>
        <family val="2"/>
      </rPr>
      <t>hypothèque</t>
    </r>
  </si>
  <si>
    <r>
      <rPr>
        <sz val="10"/>
        <color theme="0"/>
        <rFont val="Trebuchet MS"/>
        <family val="2"/>
      </rPr>
      <t>débit</t>
    </r>
  </si>
  <si>
    <r>
      <rPr>
        <sz val="10"/>
        <color theme="0"/>
        <rFont val="Trebuchet MS"/>
        <family val="2"/>
      </rPr>
      <t>courses</t>
    </r>
  </si>
  <si>
    <r>
      <rPr>
        <sz val="10"/>
        <color theme="0"/>
        <rFont val="Trebuchet MS"/>
        <family val="2"/>
      </rPr>
      <t>DAB</t>
    </r>
  </si>
  <si>
    <r>
      <rPr>
        <sz val="10"/>
        <color theme="0"/>
        <rFont val="Trebuchet MS"/>
        <family val="2"/>
      </rPr>
      <t>espèces</t>
    </r>
  </si>
  <si>
    <t>montant</t>
  </si>
  <si>
    <t>relevé
bancaire
mensuel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</si>
</sst>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15" x14ac:knownFonts="1">
    <font>
      <sz val="10"/>
      <color theme="1"/>
      <name val="Trebuchet MS"/>
      <family val="2"/>
      <scheme val="minor"/>
    </font>
    <font>
      <sz val="9"/>
      <color theme="1" tint="0.34998626667073579"/>
      <name val="Euphemia"/>
      <family val="2"/>
      <scheme val="major"/>
    </font>
    <font>
      <b/>
      <sz val="15"/>
      <color theme="1" tint="0.34998626667073579"/>
      <name val="Euphemia"/>
      <family val="2"/>
      <scheme val="major"/>
    </font>
    <font>
      <sz val="18"/>
      <color theme="4"/>
      <name val="Euphemia"/>
      <family val="2"/>
      <scheme val="major"/>
    </font>
    <font>
      <sz val="18"/>
      <color theme="5"/>
      <name val="Euphemia"/>
      <family val="2"/>
      <scheme val="major"/>
    </font>
    <font>
      <sz val="25"/>
      <color theme="1" tint="0.34998626667073579"/>
      <name val="Euphemia"/>
      <family val="2"/>
      <scheme val="major"/>
    </font>
    <font>
      <sz val="10"/>
      <color theme="1"/>
      <name val="Trebuchet MS"/>
      <family val="2"/>
      <scheme val="minor"/>
    </font>
    <font>
      <sz val="25"/>
      <color rgb="FF000000" tint="0.34998626667073579"/>
      <name val="Euphemia"/>
      <family val="2"/>
    </font>
    <font>
      <sz val="9"/>
      <color rgb="FF000000" tint="0.34998626667073579"/>
      <name val="Euphemia"/>
      <family val="2"/>
    </font>
    <font>
      <b/>
      <sz val="15"/>
      <color rgb="FF000000" tint="0.34998626667073579"/>
      <name val="Euphemia"/>
      <family val="2"/>
    </font>
    <font>
      <sz val="10"/>
      <color rgb="FF000000"/>
      <name val="Trebuchet MS"/>
      <family val="2"/>
    </font>
    <font>
      <sz val="18"/>
      <color rgb="FF38A657"/>
      <name val="Euphemia"/>
      <family val="2"/>
    </font>
    <font>
      <sz val="18"/>
      <color rgb="FF3A6E8C"/>
      <name val="Euphemia"/>
      <family val="2"/>
    </font>
    <font>
      <sz val="10"/>
      <color theme="0"/>
      <name val="Trebuchet MS"/>
      <family val="2"/>
    </font>
    <font>
      <sz val="10"/>
      <color theme="0"/>
      <name val="Trebuchet MS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theme="0"/>
      </left>
      <right style="thick">
        <color theme="0"/>
      </right>
      <top/>
      <bottom style="medium">
        <color theme="6"/>
      </bottom>
      <diagonal/>
    </border>
    <border>
      <left style="thick">
        <color theme="0"/>
      </left>
      <right style="thick">
        <color theme="0"/>
      </right>
      <top/>
      <bottom style="medium">
        <color theme="4"/>
      </bottom>
      <diagonal/>
    </border>
    <border>
      <left style="thick">
        <color theme="0"/>
      </left>
      <right style="thick">
        <color theme="0"/>
      </right>
      <top/>
      <bottom style="medium">
        <color theme="5"/>
      </bottom>
      <diagonal/>
    </border>
  </borders>
  <cellStyleXfs count="5">
    <xf numFmtId="0" fontId="0" fillId="0" borderId="0">
      <alignment vertical="center"/>
    </xf>
    <xf numFmtId="0" fontId="3" fillId="0" borderId="0" applyNumberFormat="0" applyFill="0" applyProtection="0">
      <alignment vertical="center"/>
    </xf>
    <xf numFmtId="0" fontId="1" fillId="0" borderId="0" applyNumberFormat="0" applyFill="0" applyProtection="0"/>
    <xf numFmtId="0" fontId="4" fillId="0" borderId="0" applyNumberFormat="0" applyFill="0" applyProtection="0">
      <alignment vertical="center"/>
    </xf>
    <xf numFmtId="0" fontId="5" fillId="0" borderId="0" applyNumberFormat="0" applyFill="0" applyBorder="0" applyAlignment="0" applyProtection="0"/>
  </cellStyleXfs>
  <cellXfs count="19">
    <xf numFmtId="0" fontId="0" fillId="0" borderId="0" xfId="0">
      <alignment vertical="center"/>
    </xf>
    <xf numFmtId="0" fontId="1" fillId="0" borderId="1" xfId="2" applyBorder="1"/>
    <xf numFmtId="0" fontId="1" fillId="0" borderId="2" xfId="2" applyBorder="1"/>
    <xf numFmtId="0" fontId="1" fillId="0" borderId="3" xfId="2" applyBorder="1"/>
    <xf numFmtId="0" fontId="2" fillId="0" borderId="0" xfId="0" applyFont="1" applyAlignment="1">
      <alignment horizontal="left" vertical="top"/>
    </xf>
    <xf numFmtId="0" fontId="3" fillId="0" borderId="0" xfId="1" applyAlignment="1">
      <alignment vertical="center"/>
    </xf>
    <xf numFmtId="0" fontId="4" fillId="0" borderId="0" xfId="3" applyAlignment="1">
      <alignment vertical="center"/>
    </xf>
    <xf numFmtId="0" fontId="6" fillId="0" borderId="0" xfId="0" applyFont="1" applyFill="1" applyBorder="1" applyAlignment="1">
      <alignment horizontal="left" vertical="center" indent="1"/>
    </xf>
    <xf numFmtId="0" fontId="6" fillId="0" borderId="0" xfId="0" applyFont="1" applyFill="1" applyBorder="1" applyAlignment="1">
      <alignment vertical="center"/>
    </xf>
    <xf numFmtId="164" fontId="2" fillId="0" borderId="0" xfId="0" applyNumberFormat="1" applyFont="1" applyAlignment="1">
      <alignment horizontal="left" vertical="top"/>
    </xf>
    <xf numFmtId="164" fontId="6" fillId="0" borderId="0" xfId="0" applyNumberFormat="1" applyFont="1" applyFill="1" applyBorder="1" applyAlignment="1">
      <alignment horizontal="left" vertical="center" indent="1"/>
    </xf>
    <xf numFmtId="0" fontId="13" fillId="0" borderId="0" xfId="0" applyFont="1" applyFill="1" applyBorder="1" applyAlignment="1">
      <alignment horizontal="left" vertical="center" indent="1"/>
    </xf>
    <xf numFmtId="0" fontId="14" fillId="0" borderId="0" xfId="0" applyFont="1" applyFill="1" applyBorder="1" applyAlignment="1">
      <alignment horizontal="left" vertical="center" indent="1"/>
    </xf>
    <xf numFmtId="14" fontId="14" fillId="0" borderId="0" xfId="0" applyNumberFormat="1" applyFont="1" applyFill="1" applyBorder="1" applyAlignment="1">
      <alignment horizontal="left" vertical="center" indent="1"/>
    </xf>
    <xf numFmtId="164" fontId="14" fillId="0" borderId="0" xfId="0" applyNumberFormat="1" applyFont="1" applyFill="1" applyBorder="1" applyAlignment="1">
      <alignment horizontal="left" vertical="center" indent="1"/>
    </xf>
    <xf numFmtId="0" fontId="1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7" fillId="0" borderId="0" xfId="4" applyFont="1" applyBorder="1" applyAlignment="1">
      <alignment horizontal="left" vertical="center" wrapText="1"/>
    </xf>
    <xf numFmtId="0" fontId="5" fillId="0" borderId="0" xfId="4" applyBorder="1" applyAlignment="1">
      <alignment horizontal="left" vertical="center" wrapText="1"/>
    </xf>
  </cellXfs>
  <cellStyles count="5">
    <cellStyle name="Encabezado 1" xfId="1" builtinId="16" customBuiltin="1"/>
    <cellStyle name="Normal" xfId="0" builtinId="0" customBuiltin="1"/>
    <cellStyle name="Título" xfId="4" builtinId="15" customBuiltin="1"/>
    <cellStyle name="Título 2" xfId="3" builtinId="17" customBuiltin="1"/>
    <cellStyle name="Título 3" xfId="2" builtinId="18" customBuiltin="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rebuchet MS"/>
        <scheme val="minor"/>
      </font>
      <numFmt numFmtId="164" formatCode="#,##0.00\ &quot;€&quot;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numFmt numFmtId="164" formatCode="#,##0.00\ &quot;€&quot;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numFmt numFmtId="165" formatCode="m/d/yyyy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numFmt numFmtId="0" formatCode="General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minor"/>
      </font>
      <numFmt numFmtId="166" formatCode="&quot;$&quot;#,##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numFmt numFmtId="164" formatCode="#,##0.00\ &quot;€&quot;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numFmt numFmtId="165" formatCode="m/d/yyyy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horizontal="left" vertical="center" textRotation="0" wrapText="0" indent="1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Trebuchet MS"/>
      </font>
      <alignment vertical="center" textRotation="0" wrapText="0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color theme="0"/>
      </font>
      <fill>
        <patternFill patternType="solid">
          <fgColor theme="4"/>
          <bgColor theme="5" tint="0.39994506668294322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color theme="0"/>
      </font>
      <fill>
        <patternFill patternType="solid">
          <fgColor theme="4"/>
          <bgColor theme="5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font>
        <b/>
        <i val="0"/>
        <color theme="0"/>
      </font>
      <fill>
        <patternFill patternType="solid">
          <fgColor theme="4" tint="0.79992065187536243"/>
          <bgColor theme="5" tint="0.39994506668294322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ont>
        <b/>
        <i val="0"/>
        <color theme="0"/>
      </font>
      <fill>
        <patternFill patternType="solid">
          <fgColor theme="4"/>
          <bgColor theme="4" tint="0.39994506668294322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color theme="0"/>
      </font>
      <fill>
        <patternFill patternType="solid">
          <fgColor theme="4"/>
          <bgColor theme="4"/>
        </patternFill>
      </fill>
      <border diagonalUp="0" diagonalDown="0">
        <left/>
        <right/>
        <top/>
        <bottom style="thin">
          <color theme="0"/>
        </bottom>
        <vertical/>
        <horizontal/>
      </border>
    </dxf>
    <dxf>
      <font>
        <b/>
        <i val="0"/>
        <color theme="0"/>
      </font>
      <fill>
        <patternFill patternType="solid">
          <fgColor theme="4" tint="0.79995117038483843"/>
          <bgColor theme="4" tint="0.39994506668294322"/>
        </patternFill>
      </fill>
      <border diagonalUp="0" diagonalDown="0">
        <left/>
        <right/>
        <top/>
        <bottom/>
        <vertical style="thin">
          <color theme="0"/>
        </vertical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</dxfs>
  <tableStyles count="4" defaultTableStyle="TableStyleMedium2" defaultPivotStyle="PivotStyleMedium2">
    <tableStyle name="Monthly bank Reconciliation" pivot="0" table="0" count="10">
      <tableStyleElement type="wholeTable" dxfId="35"/>
      <tableStyleElement type="headerRow" dxfId="34"/>
    </tableStyle>
    <tableStyle name="Monthly Bank Reconciliation - deposits" pivot="0" count="3">
      <tableStyleElement type="wholeTable" dxfId="33"/>
      <tableStyleElement type="headerRow" dxfId="32"/>
      <tableStyleElement type="totalRow" dxfId="31"/>
    </tableStyle>
    <tableStyle name="Monthly Bank Reconciliation - withdrawls" pivot="0" count="3">
      <tableStyleElement type="wholeTable" dxfId="30"/>
      <tableStyleElement type="headerRow" dxfId="29"/>
      <tableStyleElement type="totalRow" dxfId="28"/>
    </tableStyle>
    <tableStyle name="Monthly bank Reconciliation_2" pivot="0" table="0" count="10">
      <tableStyleElement type="wholeTable" dxfId="27"/>
      <tableStyleElement type="headerRow" dxfId="26"/>
    </tableStyle>
  </tableStyles>
  <colors>
    <mruColors>
      <color rgb="FF0000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4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5" tint="0.7999816888943144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 tint="-0.249977111117893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theme="5" tint="0.59999389629810485"/>
            </left>
            <right style="thin">
              <color theme="5" tint="0.59999389629810485"/>
            </right>
            <top style="thin">
              <color theme="5" tint="0.59999389629810485"/>
            </top>
            <bottom style="thin">
              <color theme="5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5"/>
              <bgColor theme="5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Monthly bank Reconciliation">
        <x14:slicerStyle name="Monthly bank Reconciliation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onthly bank Reconciliation_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1.xml" Id="rId8" /><Relationship Type="http://schemas.microsoft.com/office/2007/relationships/slicerCache" Target="slicerCaches/slicerCache2.xml" Id="rId3" /><Relationship Type="http://schemas.openxmlformats.org/officeDocument/2006/relationships/calcChain" Target="calcChain.xml" Id="rId7" /><Relationship Type="http://schemas.microsoft.com/office/2007/relationships/slicerCache" Target="slicerCaches/slicerCache1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76198</xdr:colOff>
      <xdr:row>1</xdr:row>
      <xdr:rowOff>266700</xdr:rowOff>
    </xdr:from>
    <xdr:to>
      <xdr:col>11</xdr:col>
      <xdr:colOff>533399</xdr:colOff>
      <xdr:row>6</xdr:row>
      <xdr:rowOff>38100</xdr:rowOff>
    </xdr:to>
    <xdr:sp macro="" textlink="">
      <xdr:nvSpPr>
        <xdr:cNvPr id="2" name="Rectangle 1" descr="Entrez le mois, l’année et le solde précédent afin que le reste se calcule automatiquement. Servez-vous des tables ci-dessous pour entrer vos informations." title="conseils sur le rapprochement bancaire mensuel"/>
        <xdr:cNvSpPr>
          <a:spLocks noChangeAspect="1"/>
        </xdr:cNvSpPr>
      </xdr:nvSpPr>
      <xdr:spPr>
        <a:xfrm>
          <a:off x="7248523" y="457200"/>
          <a:ext cx="2895601" cy="1409700"/>
        </a:xfrm>
        <a:prstGeom prst="wedgeRectCallout">
          <a:avLst>
            <a:gd name="adj1" fmla="val -57324"/>
            <a:gd name="adj2" fmla="val -21195"/>
          </a:avLst>
        </a:prstGeom>
        <a:solidFill>
          <a:schemeClr val="bg1"/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37160" rtlCol="0" anchor="ctr"/>
        <a:lstStyle/>
        <a:p>
          <a:pPr algn="l">
            <a:lnSpc>
              <a:spcPts val="1600"/>
            </a:lnSpc>
          </a:pPr>
          <a:r>
            <a:rPr lang="en-US" sz="1200">
              <a:solidFill>
                <a:srgbClr val="F16522"/>
              </a:solidFill>
              <a:latin typeface="Euphemia"/>
            </a:rPr>
            <a:t>conseils sur le rapprochement bancaire mensuel :</a:t>
          </a:r>
        </a:p>
        <a:p>
          <a:pPr algn="l">
            <a:lnSpc>
              <a:spcPts val="1600"/>
            </a:lnSpc>
          </a:pPr>
          <a:r>
            <a:rPr lang="en-US" sz="1000">
              <a:solidFill>
                <a:srgbClr val="F16522"/>
              </a:solidFill>
            </a:rPr>
            <a:t>Entrez le mois, l’année et le solde précédent afin que le reste se calcule automatiquement. Servez-vous des tables en dessous du résumé pour entrer vos informations.</a:t>
          </a:r>
          <a:endParaRPr lang="en-US" sz="1000"/>
        </a:p>
      </xdr:txBody>
    </xdr:sp>
    <xdr:clientData fPrintsWithSheet="0"/>
  </xdr:twoCellAnchor>
  <xdr:twoCellAnchor editAs="oneCell">
    <xdr:from>
      <xdr:col>7</xdr:col>
      <xdr:colOff>19050</xdr:colOff>
      <xdr:row>15</xdr:row>
      <xdr:rowOff>0</xdr:rowOff>
    </xdr:from>
    <xdr:to>
      <xdr:col>10</xdr:col>
      <xdr:colOff>228600</xdr:colOff>
      <xdr:row>21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Afin que" descr="Sélectionnez un élément dans le segment pour filtrer les dépôts sur votre sélection." title="Pour segmen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fin qu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1375" y="4229100"/>
              <a:ext cx="2038350" cy="1704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 fPrintsWithSheet="0"/>
  </xdr:twoCellAnchor>
  <xdr:twoCellAnchor editAs="oneCell">
    <xdr:from>
      <xdr:col>7</xdr:col>
      <xdr:colOff>57150</xdr:colOff>
      <xdr:row>7</xdr:row>
      <xdr:rowOff>1</xdr:rowOff>
    </xdr:from>
    <xdr:to>
      <xdr:col>10</xdr:col>
      <xdr:colOff>228600</xdr:colOff>
      <xdr:row>12</xdr:row>
      <xdr:rowOff>114300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description" descr="Sélectionnez un élément dans le segment pour filtrer les dépôts sur votre sélection." title="Segment de descript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5" y="2095501"/>
              <a:ext cx="2000250" cy="1447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2013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 fPrintsWithSheet="0"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pour" sourceName="po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Description_segment" sourceName="description">
  <extLst>
    <x:ext xmlns:x15="http://schemas.microsoft.com/office/spreadsheetml/2010/11/main" uri="{2F2917AC-EB37-4324-AD4E-5DD8C200BD13}">
      <x15:tableSlicerCache tableId="2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fin que" cache="Segment_pour" caption="pour filtre" rowHeight="241300"/>
  <slicer name="description" cache="Description_segment" caption="filtre de description" style="Monthly bank Reconciliation_2" rowHeight="241300"/>
</slicers>
</file>

<file path=xl/tables/table1.xml><?xml version="1.0" encoding="utf-8"?>
<table xmlns="http://schemas.openxmlformats.org/spreadsheetml/2006/main" id="1" name="tblChecks" displayName="tblChecks" ref="B16:F22" totalsRowCount="1" headerRowDxfId="25" dataDxfId="24" totalsRowDxfId="23">
  <autoFilter ref="B16:F21"/>
  <tableColumns count="5">
    <tableColumn id="1" name="type" totalsRowLabel="TOTAL" dataDxfId="22" totalsRowDxfId="21"/>
    <tableColumn id="2" name="date" dataDxfId="20" totalsRowDxfId="19"/>
    <tableColumn id="3" name="montant" totalsRowFunction="sum" dataDxfId="18" totalsRowDxfId="17"/>
    <tableColumn id="4" name="pour" dataDxfId="16" totalsRowDxfId="15"/>
    <tableColumn id="5" name="rapprochement" dataDxfId="14" totalsRowDxfId="13"/>
  </tableColumns>
  <tableStyleInfo name="Monthly Bank Reconciliation - withdrawls" showFirstColumn="0" showLastColumn="0" showRowStripes="0" showColumnStripes="0"/>
  <extLst>
    <ext xmlns:x14="http://schemas.microsoft.com/office/spreadsheetml/2009/9/main" uri="{504A1905-F514-4f6f-8877-14C23A59335A}">
      <x14:table altText="Retraits" altTextSummary="Liste des détails des retraits, notamment le type, la date, le montant, l’objet et le rapprochement."/>
    </ext>
  </extLst>
</table>
</file>

<file path=xl/tables/table2.xml><?xml version="1.0" encoding="utf-8"?>
<table xmlns="http://schemas.openxmlformats.org/spreadsheetml/2006/main" id="2" name="tblDeposits" displayName="tblDeposits" ref="B8:F13" totalsRowCount="1" headerRowDxfId="12" dataDxfId="11" totalsRowDxfId="10">
  <autoFilter ref="B8:F12"/>
  <tableColumns count="5">
    <tableColumn id="4" name="n° dépôt" totalsRowLabel="TOTAL" dataDxfId="9" totalsRowDxfId="8">
      <calculatedColumnFormula>ROW()-ROW(tblDeposits[[#Headers],[n° dépôt]])</calculatedColumnFormula>
    </tableColumn>
    <tableColumn id="1" name="date" dataDxfId="7" totalsRowDxfId="6"/>
    <tableColumn id="2" name="montant" totalsRowFunction="sum" dataDxfId="5" totalsRowDxfId="4"/>
    <tableColumn id="3" name="description" dataDxfId="3" totalsRowDxfId="2"/>
    <tableColumn id="5" name="rapprochement" dataDxfId="1" totalsRowDxfId="0"/>
  </tableColumns>
  <tableStyleInfo name="Monthly Bank Reconciliation - deposits" showFirstColumn="0" showLastColumn="0" showRowStripes="0" showColumnStripes="0"/>
  <extLst>
    <ext xmlns:x14="http://schemas.microsoft.com/office/spreadsheetml/2009/9/main" uri="{504A1905-F514-4f6f-8877-14C23A59335A}">
      <x14:table altText="Dépôts" altTextSummary="Liste des détails des dépôts, notamment le numéro du dépôt, la date, le montant, la description et le rapprochement."/>
    </ext>
  </extLst>
</table>
</file>

<file path=xl/theme/theme1.xml><?xml version="1.0" encoding="utf-8"?>
<a:theme xmlns:a="http://schemas.openxmlformats.org/drawingml/2006/main" name="Monthly Bank Reconciliation">
  <a:themeElements>
    <a:clrScheme name="Monthly bank Reconciliation">
      <a:dk1>
        <a:srgbClr val="000000"/>
      </a:dk1>
      <a:lt1>
        <a:srgbClr val="FFFFFF"/>
      </a:lt1>
      <a:dk2>
        <a:srgbClr val="38300D"/>
      </a:dk2>
      <a:lt2>
        <a:srgbClr val="F7F4F0"/>
      </a:lt2>
      <a:accent1>
        <a:srgbClr val="38A657"/>
      </a:accent1>
      <a:accent2>
        <a:srgbClr val="3A6E8C"/>
      </a:accent2>
      <a:accent3>
        <a:srgbClr val="F16522"/>
      </a:accent3>
      <a:accent4>
        <a:srgbClr val="7F52AA"/>
      </a:accent4>
      <a:accent5>
        <a:srgbClr val="EFC516"/>
      </a:accent5>
      <a:accent6>
        <a:srgbClr val="A51E2B"/>
      </a:accent6>
      <a:hlink>
        <a:srgbClr val="0D707D"/>
      </a:hlink>
      <a:folHlink>
        <a:srgbClr val="7F52AA"/>
      </a:folHlink>
    </a:clrScheme>
    <a:fontScheme name="Monthly Bank Reconciliation">
      <a:majorFont>
        <a:latin typeface="Euphemia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G22"/>
  <sheetViews>
    <sheetView showGridLines="0" tabSelected="1" workbookViewId="0"/>
  </sheetViews>
  <sheetFormatPr baseColWidth="10" defaultColWidth="9.140625" defaultRowHeight="21" customHeight="1" x14ac:dyDescent="0.3"/>
  <cols>
    <col min="1" max="1" width="1.7109375" customWidth="1"/>
    <col min="2" max="2" width="17.7109375" customWidth="1"/>
    <col min="3" max="3" width="16.140625" customWidth="1"/>
    <col min="4" max="4" width="21" customWidth="1"/>
    <col min="5" max="5" width="28.28515625" customWidth="1"/>
    <col min="6" max="6" width="21" customWidth="1"/>
    <col min="7" max="7" width="1.7109375" customWidth="1"/>
  </cols>
  <sheetData>
    <row r="1" spans="2:7" ht="15" x14ac:dyDescent="0.3"/>
    <row r="2" spans="2:7" ht="28.5" customHeight="1" thickBot="1" x14ac:dyDescent="0.35">
      <c r="B2" s="17" t="s">
        <v>35</v>
      </c>
      <c r="C2" s="18"/>
      <c r="D2" s="1" t="s">
        <v>0</v>
      </c>
      <c r="E2" s="1" t="s">
        <v>1</v>
      </c>
      <c r="F2" s="2" t="s">
        <v>2</v>
      </c>
    </row>
    <row r="3" spans="2:7" ht="28.5" customHeight="1" x14ac:dyDescent="0.3">
      <c r="B3" s="18"/>
      <c r="C3" s="18"/>
      <c r="D3" s="4" t="s">
        <v>3</v>
      </c>
      <c r="E3" s="9">
        <v>2525.54</v>
      </c>
      <c r="F3" s="9">
        <f>tblDeposits[[#Totals],[montant]]</f>
        <v>5400</v>
      </c>
    </row>
    <row r="4" spans="2:7" ht="28.5" customHeight="1" thickBot="1" x14ac:dyDescent="0.35">
      <c r="B4" s="18"/>
      <c r="C4" s="18"/>
      <c r="D4" s="1" t="s">
        <v>4</v>
      </c>
      <c r="E4" s="1" t="s">
        <v>5</v>
      </c>
      <c r="F4" s="3" t="s">
        <v>6</v>
      </c>
    </row>
    <row r="5" spans="2:7" ht="28.5" customHeight="1" x14ac:dyDescent="0.3">
      <c r="B5" s="18"/>
      <c r="C5" s="18"/>
      <c r="D5" s="4">
        <v>2013</v>
      </c>
      <c r="E5" s="9">
        <f>SoldeFinal+tblDeposits[[#Totals],[montant]]-tblChecks[[#Totals],[montant]]</f>
        <v>6550.54</v>
      </c>
      <c r="F5" s="9">
        <f>tblChecks[[#Totals],[montant]]</f>
        <v>1375</v>
      </c>
      <c r="G5" t="s">
        <v>7</v>
      </c>
    </row>
    <row r="6" spans="2:7" ht="15" x14ac:dyDescent="0.3"/>
    <row r="7" spans="2:7" ht="21" customHeight="1" x14ac:dyDescent="0.3">
      <c r="B7" s="5" t="s">
        <v>8</v>
      </c>
      <c r="G7" t="s">
        <v>9</v>
      </c>
    </row>
    <row r="8" spans="2:7" ht="21" customHeight="1" x14ac:dyDescent="0.3">
      <c r="B8" s="11" t="s">
        <v>12</v>
      </c>
      <c r="C8" s="12" t="s">
        <v>14</v>
      </c>
      <c r="D8" s="11" t="s">
        <v>34</v>
      </c>
      <c r="E8" s="12" t="s">
        <v>16</v>
      </c>
      <c r="F8" s="12" t="s">
        <v>17</v>
      </c>
    </row>
    <row r="9" spans="2:7" ht="21" customHeight="1" x14ac:dyDescent="0.3">
      <c r="B9" s="12">
        <f>ROW()-ROW(tblDeposits[[#Headers],[n° dépôt]])</f>
        <v>1</v>
      </c>
      <c r="C9" s="13">
        <v>41427</v>
      </c>
      <c r="D9" s="14">
        <v>1500</v>
      </c>
      <c r="E9" s="12" t="s">
        <v>18</v>
      </c>
      <c r="F9" s="12" t="s">
        <v>19</v>
      </c>
    </row>
    <row r="10" spans="2:7" ht="21" customHeight="1" x14ac:dyDescent="0.3">
      <c r="B10" s="12">
        <f>ROW()-ROW(tblDeposits[[#Headers],[n° dépôt]])</f>
        <v>2</v>
      </c>
      <c r="C10" s="13">
        <v>41440</v>
      </c>
      <c r="D10" s="14">
        <v>1200</v>
      </c>
      <c r="E10" s="12" t="s">
        <v>20</v>
      </c>
      <c r="F10" s="12" t="s">
        <v>19</v>
      </c>
    </row>
    <row r="11" spans="2:7" ht="21" customHeight="1" x14ac:dyDescent="0.3">
      <c r="B11" s="12">
        <f>ROW()-ROW(tblDeposits[[#Headers],[n° dépôt]])</f>
        <v>3</v>
      </c>
      <c r="C11" s="13">
        <v>41441</v>
      </c>
      <c r="D11" s="14">
        <v>1500</v>
      </c>
      <c r="E11" s="12" t="s">
        <v>21</v>
      </c>
      <c r="F11" s="12" t="s">
        <v>19</v>
      </c>
    </row>
    <row r="12" spans="2:7" ht="21" customHeight="1" x14ac:dyDescent="0.3">
      <c r="B12" s="12">
        <f>ROW()-ROW(tblDeposits[[#Headers],[n° dépôt]])</f>
        <v>4</v>
      </c>
      <c r="C12" s="13">
        <v>41455</v>
      </c>
      <c r="D12" s="14">
        <v>1200</v>
      </c>
      <c r="E12" s="12" t="s">
        <v>22</v>
      </c>
      <c r="F12" s="12" t="s">
        <v>19</v>
      </c>
    </row>
    <row r="13" spans="2:7" ht="21" customHeight="1" x14ac:dyDescent="0.3">
      <c r="B13" s="12" t="s">
        <v>13</v>
      </c>
      <c r="C13" s="15"/>
      <c r="D13" s="14">
        <f>SUBTOTAL(109,tblDeposits[montant])</f>
        <v>5400</v>
      </c>
      <c r="E13" s="15"/>
      <c r="F13" s="15"/>
    </row>
    <row r="14" spans="2:7" ht="37.5" customHeight="1" x14ac:dyDescent="0.3">
      <c r="B14" s="16"/>
      <c r="C14" s="16"/>
      <c r="D14" s="16"/>
      <c r="E14" s="16"/>
    </row>
    <row r="15" spans="2:7" ht="21" customHeight="1" x14ac:dyDescent="0.3">
      <c r="B15" s="6" t="s">
        <v>10</v>
      </c>
    </row>
    <row r="16" spans="2:7" ht="21" customHeight="1" x14ac:dyDescent="0.3">
      <c r="B16" s="11" t="s">
        <v>11</v>
      </c>
      <c r="C16" s="12" t="s">
        <v>14</v>
      </c>
      <c r="D16" s="12" t="s">
        <v>15</v>
      </c>
      <c r="E16" s="12" t="s">
        <v>23</v>
      </c>
      <c r="F16" s="12" t="s">
        <v>17</v>
      </c>
    </row>
    <row r="17" spans="2:6" ht="21" customHeight="1" x14ac:dyDescent="0.3">
      <c r="B17" s="12" t="s">
        <v>24</v>
      </c>
      <c r="C17" s="13">
        <v>41426</v>
      </c>
      <c r="D17" s="14">
        <v>150</v>
      </c>
      <c r="E17" s="12" t="s">
        <v>25</v>
      </c>
      <c r="F17" s="12" t="s">
        <v>19</v>
      </c>
    </row>
    <row r="18" spans="2:6" ht="21" customHeight="1" x14ac:dyDescent="0.3">
      <c r="B18" s="12" t="s">
        <v>26</v>
      </c>
      <c r="C18" s="13">
        <v>41427</v>
      </c>
      <c r="D18" s="14">
        <v>150</v>
      </c>
      <c r="E18" s="12" t="s">
        <v>27</v>
      </c>
      <c r="F18" s="12" t="s">
        <v>19</v>
      </c>
    </row>
    <row r="19" spans="2:6" ht="21" customHeight="1" x14ac:dyDescent="0.3">
      <c r="B19" s="12" t="s">
        <v>28</v>
      </c>
      <c r="C19" s="13">
        <v>41429</v>
      </c>
      <c r="D19" s="14">
        <v>850</v>
      </c>
      <c r="E19" s="12" t="s">
        <v>29</v>
      </c>
      <c r="F19" s="12" t="s">
        <v>19</v>
      </c>
    </row>
    <row r="20" spans="2:6" ht="21" customHeight="1" x14ac:dyDescent="0.3">
      <c r="B20" s="12" t="s">
        <v>30</v>
      </c>
      <c r="C20" s="13">
        <v>41433</v>
      </c>
      <c r="D20" s="14">
        <v>125</v>
      </c>
      <c r="E20" s="12" t="s">
        <v>31</v>
      </c>
      <c r="F20" s="12" t="s">
        <v>19</v>
      </c>
    </row>
    <row r="21" spans="2:6" ht="21" customHeight="1" x14ac:dyDescent="0.3">
      <c r="B21" s="12" t="s">
        <v>32</v>
      </c>
      <c r="C21" s="13">
        <v>41434</v>
      </c>
      <c r="D21" s="14">
        <v>100</v>
      </c>
      <c r="E21" s="12" t="s">
        <v>33</v>
      </c>
      <c r="F21" s="12" t="s">
        <v>19</v>
      </c>
    </row>
    <row r="22" spans="2:6" ht="21" customHeight="1" x14ac:dyDescent="0.3">
      <c r="B22" s="7" t="s">
        <v>13</v>
      </c>
      <c r="C22" s="8"/>
      <c r="D22" s="10">
        <f>SUBTOTAL(109,tblChecks[montant])</f>
        <v>1375</v>
      </c>
      <c r="E22" s="8"/>
      <c r="F22" s="8"/>
    </row>
  </sheetData>
  <mergeCells count="2">
    <mergeCell ref="B14:E14"/>
    <mergeCell ref="B2:C5"/>
  </mergeCells>
  <conditionalFormatting sqref="D9:D12">
    <cfRule type="dataBar" priority="1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{DFAB242C-6506-4613-AF01-D0956E78CD1F}</x14:id>
        </ext>
      </extLst>
    </cfRule>
  </conditionalFormatting>
  <conditionalFormatting sqref="D17:D21">
    <cfRule type="dataBar" priority="13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{51BAC999-9B7B-466E-BB2F-F0D211C93134}</x14:id>
        </ext>
      </extLst>
    </cfRule>
  </conditionalFormatting>
  <dataValidations count="2">
    <dataValidation type="list" errorStyle="warning" allowBlank="1" showInputMessage="1" errorTitle="Erreur !" error="La réponse doit être oui ou non. Cliquez sur Annuler et sélectionnez la flèche déroulante sur la droite de la cellule pour choisir oui ou non." sqref="F17:F21">
      <formula1>"oui,non"</formula1>
    </dataValidation>
    <dataValidation type="list" errorStyle="warning" allowBlank="1" showInputMessage="1" errorTitle="Erreur !" error="La réponse doit être oui ou non. Cliquez sur Annuler et sélectionnez la flèche déroulante sur la droite de la cellule pour choisir oui ou non." sqref="F9 F10:F12">
      <formula1>"oui,non"</formula1>
    </dataValidation>
  </dataValidations>
  <printOptions horizontalCentered="1"/>
  <pageMargins left="0.4" right="0.4" top="0.4" bottom="0.4" header="0.5" footer="0.5"/>
  <pageSetup fitToHeight="0" orientation="portrait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AB242C-6506-4613-AF01-D0956E78CD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D9:D12</xm:sqref>
        </x14:conditionalFormatting>
        <x14:conditionalFormatting xmlns:xm="http://schemas.microsoft.com/office/excel/2006/main">
          <x14:cfRule type="dataBar" id="{51BAC999-9B7B-466E-BB2F-F0D211C931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D17:D21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1C16BC69-B883-4C58-A1D0-67DABDE62C5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Rapprochement bancaire</vt:lpstr>
      <vt:lpstr>Année</vt:lpstr>
      <vt:lpstr>Mois</vt:lpstr>
      <vt:lpstr>SoldeFinal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/>
  <lastModifiedBy/>
  <keywords/>
  <dcterms:modified xsi:type="dcterms:W3CDTF">2013-04-24T09:49:21.0000000Z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TC037835259991</vt:lpwstr>
  </property>
</Properties>
</file>