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R:\External Resources\Template\20120910_FY13HOSep1\06_ToDTP_Batch02\1036\"/>
    </mc:Choice>
  </mc:AlternateContent>
  <bookViews>
    <workbookView xWindow="480" yWindow="360" windowWidth="19875" windowHeight="7455"/>
  </bookViews>
  <sheets>
    <sheet name="Registre de chèques" sheetId="1" r:id="rId1"/>
  </sheets>
  <calcPr calcId="152511"/>
</workbook>
</file>

<file path=xl/calcChain.xml><?xml version="1.0" encoding="utf-8"?>
<calcChain xmlns="http://schemas.openxmlformats.org/spreadsheetml/2006/main">
  <c r="H15" i="1" l="1"/>
  <c r="G15" i="1"/>
  <c r="F15" i="1"/>
  <c r="D15" i="1"/>
  <c r="H9" i="1" l="1"/>
  <c r="H10" i="1" l="1"/>
  <c r="H11" i="1" l="1"/>
  <c r="H12" i="1" s="1"/>
  <c r="H13" i="1" s="1"/>
  <c r="H14" i="1" s="1"/>
  <c r="G4" i="1" l="1"/>
</calcChain>
</file>

<file path=xl/sharedStrings.xml><?xml version="1.0" encoding="utf-8"?>
<sst xmlns="http://schemas.openxmlformats.org/spreadsheetml/2006/main" count="32" uniqueCount="31">
  <si>
    <t>Registre de chèques</t>
  </si>
  <si>
    <t>Solde d’ouverture</t>
  </si>
  <si>
    <t>Woodgrove Bank</t>
  </si>
  <si>
    <t>École des Beaux-arts</t>
  </si>
  <si>
    <t>Cours d’arts plastiques de Marie - 6 semaines</t>
  </si>
  <si>
    <t>Chèque de paie</t>
  </si>
  <si>
    <t>DAB</t>
  </si>
  <si>
    <t>CB</t>
  </si>
  <si>
    <t>Southridge Video</t>
  </si>
  <si>
    <t>DA</t>
  </si>
  <si>
    <t>Espèces pour repas à l’extérieur</t>
  </si>
  <si>
    <t>Location de film + 10 € de liquide</t>
  </si>
  <si>
    <t>Total</t>
  </si>
  <si>
    <t>PF</t>
  </si>
  <si>
    <t>LÉGENDE</t>
  </si>
  <si>
    <t>SOLDE ACTUEL</t>
  </si>
  <si>
    <t>DATE</t>
  </si>
  <si>
    <t>TRANSACTION</t>
  </si>
  <si>
    <t>DESCRIPTION</t>
  </si>
  <si>
    <t>DÉPÔT</t>
  </si>
  <si>
    <t>SOLDE</t>
  </si>
  <si>
    <t xml:space="preserve"> </t>
  </si>
  <si>
    <r>
      <t xml:space="preserve">CB </t>
    </r>
    <r>
      <rPr>
        <sz val="9"/>
        <color rgb="FF7F7F7F"/>
        <rFont val="Trebuchet MS"/>
        <family val="2"/>
        <scheme val="minor"/>
      </rPr>
      <t>= Carte bancaire</t>
    </r>
  </si>
  <si>
    <r>
      <t xml:space="preserve">DA </t>
    </r>
    <r>
      <rPr>
        <sz val="9"/>
        <color rgb="FF7F7F7F"/>
        <rFont val="Trebuchet MS"/>
        <family val="2"/>
        <scheme val="minor"/>
      </rPr>
      <t xml:space="preserve">= Dépôt automatique </t>
    </r>
  </si>
  <si>
    <r>
      <t>PA</t>
    </r>
    <r>
      <rPr>
        <sz val="9"/>
        <color rgb="FF7F7F7F"/>
        <rFont val="Trebuchet MS"/>
        <family val="2"/>
        <scheme val="minor"/>
      </rPr>
      <t xml:space="preserve"> = Paiement automatique </t>
    </r>
  </si>
  <si>
    <r>
      <t xml:space="preserve">PF </t>
    </r>
    <r>
      <rPr>
        <sz val="9"/>
        <color rgb="FF7F7F7F"/>
        <rFont val="Trebuchet MS"/>
        <family val="2"/>
        <scheme val="minor"/>
      </rPr>
      <t>= Paiement de facture en ligne</t>
    </r>
  </si>
  <si>
    <r>
      <t xml:space="preserve">TR </t>
    </r>
    <r>
      <rPr>
        <sz val="9"/>
        <color rgb="FF7F7F7F"/>
        <rFont val="Trebuchet MS"/>
        <family val="2"/>
        <scheme val="minor"/>
      </rPr>
      <t>= Transfert en ligne ou par téléphone</t>
    </r>
  </si>
  <si>
    <r>
      <t xml:space="preserve">DAB </t>
    </r>
    <r>
      <rPr>
        <sz val="9"/>
        <color rgb="FF7F7F7F"/>
        <rFont val="Trebuchet MS"/>
        <family val="2"/>
        <scheme val="minor"/>
      </rPr>
      <t>= Distributeur automatique de billets</t>
    </r>
  </si>
  <si>
    <t>RETRAIT</t>
  </si>
  <si>
    <t>CHÈQUE/CODE</t>
  </si>
  <si>
    <t>La compagnie d’électricité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</si>
</sst>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#,##0.00\ &quot;€&quot;"/>
  </numFmts>
  <fonts count="11" x14ac:knownFonts="1">
    <font>
      <sz val="10"/>
      <color theme="1" tint="0.24994659260841701"/>
      <name val="Trebuchet MS"/>
      <family val="2"/>
      <scheme val="minor"/>
    </font>
    <font>
      <sz val="27"/>
      <color theme="4"/>
      <name val="Trebuchet MS"/>
      <family val="2"/>
      <scheme val="minor"/>
    </font>
    <font>
      <sz val="11"/>
      <color theme="1" tint="0.499984740745262"/>
      <name val="Sylfaen"/>
      <family val="1"/>
      <scheme val="major"/>
    </font>
    <font>
      <sz val="16.5"/>
      <color theme="4"/>
      <name val="Trebuchet MS"/>
      <family val="2"/>
      <scheme val="minor"/>
    </font>
    <font>
      <sz val="11"/>
      <color theme="2" tint="-0.24994659260841701"/>
      <name val="Sylfaen"/>
      <family val="1"/>
      <scheme val="major"/>
    </font>
    <font>
      <sz val="9"/>
      <color rgb="FF404040"/>
      <name val="Trebuchet MS"/>
      <family val="2"/>
      <scheme val="minor"/>
    </font>
    <font>
      <sz val="9"/>
      <color rgb="FF7F7F7F"/>
      <name val="Trebuchet MS"/>
      <family val="2"/>
      <scheme val="minor"/>
    </font>
    <font>
      <sz val="10"/>
      <color theme="4" tint="-0.24994659260841701"/>
      <name val="Sylfaen"/>
      <family val="1"/>
      <scheme val="major"/>
    </font>
    <font>
      <b/>
      <sz val="10"/>
      <color theme="4"/>
      <name val="Trebuchet MS"/>
      <family val="2"/>
      <scheme val="minor"/>
    </font>
    <font>
      <sz val="10"/>
      <color theme="1" tint="0.24994659260841701"/>
      <name val="Trebuchet MS"/>
      <family val="2"/>
      <scheme val="minor"/>
    </font>
    <font>
      <b/>
      <outline/>
      <shadow/>
      <sz val="10"/>
      <color theme="1" tint="0.24994659260841701"/>
      <name val="Trebuchet MS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/>
      <diagonal/>
    </border>
  </borders>
  <cellStyleXfs count="7">
    <xf numFmtId="0" fontId="0" fillId="0" borderId="0">
      <alignment vertical="center"/>
    </xf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7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7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1" xfId="3" applyAlignment="1">
      <alignment vertical="center"/>
    </xf>
    <xf numFmtId="0" fontId="1" fillId="0" borderId="0" xfId="1" applyAlignment="1">
      <alignment horizontal="left" vertical="center" indent="1"/>
    </xf>
    <xf numFmtId="0" fontId="0" fillId="0" borderId="0" xfId="0" applyAlignment="1"/>
    <xf numFmtId="164" fontId="3" fillId="0" borderId="0" xfId="2" applyNumberFormat="1" applyBorder="1" applyAlignment="1">
      <alignment horizontal="left" vertical="top"/>
    </xf>
    <xf numFmtId="0" fontId="5" fillId="0" borderId="0" xfId="0" applyFont="1" applyAlignment="1"/>
    <xf numFmtId="0" fontId="0" fillId="0" borderId="0" xfId="0" applyBorder="1">
      <alignment vertical="center"/>
    </xf>
    <xf numFmtId="0" fontId="2" fillId="0" borderId="0" xfId="3" applyBorder="1" applyAlignment="1">
      <alignment vertical="center"/>
    </xf>
    <xf numFmtId="0" fontId="2" fillId="0" borderId="2" xfId="3" applyBorder="1" applyAlignment="1">
      <alignment vertical="center"/>
    </xf>
    <xf numFmtId="0" fontId="0" fillId="0" borderId="0" xfId="4" applyFont="1" applyFill="1" applyBorder="1" applyAlignment="1"/>
    <xf numFmtId="0" fontId="0" fillId="0" borderId="0" xfId="4" applyFont="1" applyFill="1" applyBorder="1" applyAlignment="1">
      <alignment horizontal="center"/>
    </xf>
    <xf numFmtId="0" fontId="0" fillId="0" borderId="0" xfId="4" applyFont="1" applyFill="1" applyBorder="1" applyAlignment="1">
      <alignment horizontal="left" indent="1"/>
    </xf>
    <xf numFmtId="0" fontId="0" fillId="0" borderId="0" xfId="4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right" vertical="center" indent="1"/>
    </xf>
    <xf numFmtId="0" fontId="0" fillId="0" borderId="0" xfId="0" applyFont="1" applyFill="1" applyBorder="1" applyAlignment="1">
      <alignment horizontal="left" vertical="center" indent="1"/>
    </xf>
    <xf numFmtId="0" fontId="9" fillId="0" borderId="0" xfId="0" applyFont="1" applyFill="1" applyBorder="1" applyAlignment="1">
      <alignment horizontal="left" vertical="center" indent="1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/>
    <xf numFmtId="164" fontId="9" fillId="0" borderId="0" xfId="0" applyNumberFormat="1" applyFont="1" applyFill="1" applyBorder="1" applyAlignment="1">
      <alignment horizontal="right" vertical="center" indent="1"/>
    </xf>
    <xf numFmtId="0" fontId="10" fillId="0" borderId="0" xfId="0" applyFont="1" applyFill="1" applyBorder="1" applyAlignment="1">
      <alignment horizontal="left" vertical="center" indent="1"/>
    </xf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 applyAlignment="1"/>
    <xf numFmtId="165" fontId="0" fillId="0" borderId="0" xfId="0" applyNumberFormat="1" applyFont="1" applyFill="1" applyBorder="1" applyAlignment="1">
      <alignment horizontal="right" vertical="center" indent="1"/>
    </xf>
    <xf numFmtId="165" fontId="10" fillId="0" borderId="0" xfId="0" applyNumberFormat="1" applyFont="1" applyFill="1" applyBorder="1" applyAlignment="1">
      <alignment horizontal="right" vertical="center" indent="1"/>
    </xf>
    <xf numFmtId="165" fontId="3" fillId="0" borderId="0" xfId="2" applyNumberFormat="1" applyBorder="1" applyAlignment="1">
      <alignment horizontal="left" vertical="top"/>
    </xf>
  </cellXfs>
  <cellStyles count="7">
    <cellStyle name="Normal" xfId="0" builtinId="0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6" builtinId="25" customBuiltin="1"/>
  </cellStyles>
  <dxfs count="20">
    <dxf>
      <font>
        <b/>
        <i val="0"/>
        <strike val="0"/>
        <condense val="0"/>
        <extend val="0"/>
        <outline/>
        <shadow/>
        <u val="none"/>
        <vertAlign val="baseline"/>
        <sz val="10"/>
        <color theme="1" tint="0.24994659260841701"/>
        <name val="Trebuchet MS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numFmt numFmtId="165" formatCode="#,##0.00\ &quot;€&quot;"/>
      <alignment horizontal="righ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/>
        <shadow/>
        <u val="none"/>
        <vertAlign val="baseline"/>
        <sz val="10"/>
        <color theme="1" tint="0.24994659260841701"/>
        <name val="Trebuchet MS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numFmt numFmtId="165" formatCode="#,##0.00\ &quot;€&quot;"/>
      <alignment horizontal="righ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/>
        <shadow/>
        <u val="none"/>
        <vertAlign val="baseline"/>
        <sz val="10"/>
        <color theme="1" tint="0.24994659260841701"/>
        <name val="Trebuchet MS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numFmt numFmtId="165" formatCode="#,##0.00\ &quot;€&quot;"/>
      <alignment horizontal="righ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/>
        <shadow/>
        <u val="none"/>
        <vertAlign val="baseline"/>
        <sz val="10"/>
        <color theme="1" tint="0.24994659260841701"/>
        <name val="Trebuchet MS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/>
        <shadow/>
        <u val="none"/>
        <vertAlign val="baseline"/>
        <sz val="10"/>
        <color theme="1" tint="0.24994659260841701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/>
        <shadow/>
        <u val="none"/>
        <vertAlign val="baseline"/>
        <sz val="10"/>
        <color theme="1" tint="0.24994659260841701"/>
        <name val="Trebuchet MS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righ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/>
        <shadow/>
        <u val="none"/>
        <vertAlign val="baseline"/>
        <sz val="10"/>
        <color theme="1" tint="0.24994659260841701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outline/>
        <shadow/>
        <u val="none"/>
        <vertAlign val="baseline"/>
        <sz val="10"/>
        <color theme="1" tint="0.24994659260841701"/>
        <name val="Trebuchet MS"/>
        <scheme val="minor"/>
      </font>
    </dxf>
    <dxf>
      <font>
        <color rgb="FFFF0000"/>
      </font>
    </dxf>
    <dxf>
      <fill>
        <patternFill>
          <bgColor theme="2"/>
        </patternFill>
      </fill>
    </dxf>
    <dxf>
      <font>
        <b/>
        <i val="0"/>
        <strike val="0"/>
        <color theme="4"/>
      </font>
      <border>
        <top style="thick">
          <color theme="2" tint="-0.24994659260841701"/>
        </top>
      </border>
    </dxf>
    <dxf>
      <font>
        <color theme="4" tint="-0.24994659260841701"/>
      </font>
      <border>
        <bottom style="medium">
          <color theme="2" tint="-0.24994659260841701"/>
        </bottom>
      </border>
    </dxf>
    <dxf>
      <font>
        <color theme="1" tint="0.24994659260841701"/>
      </font>
    </dxf>
  </dxfs>
  <tableStyles count="1" defaultTableStyle="TableStyleMedium2" defaultPivotStyle="PivotStyleLight16">
    <tableStyle name="Registre de chèques" pivot="0" count="4">
      <tableStyleElement type="wholeTable" dxfId="19"/>
      <tableStyleElement type="headerRow" dxfId="18"/>
      <tableStyleElement type="totalRow" dxfId="17"/>
      <tableStyleElement type="secondRowStripe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customXml" Target="../customXml/item2.xml" Id="rId7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5" /><Relationship Type="http://schemas.openxmlformats.org/officeDocument/2006/relationships/sharedStrings" Target="sharedStrings.xml" Id="rId4" /></Relationships>
</file>

<file path=xl/tables/table1.xml><?xml version="1.0" encoding="utf-8"?>
<table xmlns="http://schemas.openxmlformats.org/spreadsheetml/2006/main" id="1" name="LivreChèques" displayName="LivreChèques" ref="B8:H15" totalsRowCount="1" totalsRowDxfId="14">
  <autoFilter ref="B8:H14"/>
  <tableColumns count="7">
    <tableColumn id="1" name="CHÈQUE/CODE" totalsRowLabel="Total" dataDxfId="13" totalsRowDxfId="12"/>
    <tableColumn id="7" name="DATE" dataDxfId="11" totalsRowDxfId="10"/>
    <tableColumn id="3" name="TRANSACTION" totalsRowFunction="custom" dataDxfId="9" totalsRowDxfId="8">
      <totalsRowFormula>CONCATENATE("Nombre de transactions : ",SUBTOTAL(103,LivreChèques[TRANSACTION]))</totalsRowFormula>
    </tableColumn>
    <tableColumn id="8" name="DESCRIPTION" dataDxfId="7" totalsRowDxfId="6"/>
    <tableColumn id="4" name="RETRAIT" totalsRowFunction="sum" dataDxfId="5" totalsRowDxfId="4"/>
    <tableColumn id="5" name="DÉPÔT" totalsRowFunction="sum" dataDxfId="3" totalsRowDxfId="2"/>
    <tableColumn id="6" name="SOLDE" totalsRowFunction="custom" dataDxfId="1" totalsRowDxfId="0">
      <calculatedColumnFormula>IF(ISBLANK(LivreChèques[[#This Row],[RETRAIT]]),H8+LivreChèques[[#This Row],[DÉPÔT]],H8-LivreChèques[[#This Row],[RETRAIT]])</calculatedColumnFormula>
      <totalsRowFormula>LivreChèques[[#Totals],[DÉPÔT]]-LivreChèques[[#Totals],[RETRAIT]]</totalsRowFormula>
    </tableColumn>
  </tableColumns>
  <tableStyleInfo name="Registre de chèques" showFirstColumn="0" showLastColumn="0" showRowStripes="1" showColumnStripes="0"/>
  <extLst>
    <ext xmlns:x14="http://schemas.microsoft.com/office/spreadsheetml/2009/9/main" uri="{504A1905-F514-4f6f-8877-14C23A59335A}">
      <x14:table altText="Registre de chèques" altTextSummary="Liste de détails d’éléments du chéquier tels que Chèque/Code, Date, Transaction, Description, Paiement, Dépôt et Solde."/>
    </ext>
  </extLst>
</table>
</file>

<file path=xl/theme/theme1.xml><?xml version="1.0" encoding="utf-8"?>
<a:theme xmlns:a="http://schemas.openxmlformats.org/drawingml/2006/main" name="Office Theme">
  <a:themeElements>
    <a:clrScheme name="Check Register">
      <a:dk1>
        <a:sysClr val="windowText" lastClr="000000"/>
      </a:dk1>
      <a:lt1>
        <a:sysClr val="window" lastClr="FFFFFF"/>
      </a:lt1>
      <a:dk2>
        <a:srgbClr val="404040"/>
      </a:dk2>
      <a:lt2>
        <a:srgbClr val="F6F6F1"/>
      </a:lt2>
      <a:accent1>
        <a:srgbClr val="669933"/>
      </a:accent1>
      <a:accent2>
        <a:srgbClr val="E69216"/>
      </a:accent2>
      <a:accent3>
        <a:srgbClr val="609FC2"/>
      </a:accent3>
      <a:accent4>
        <a:srgbClr val="E6B819"/>
      </a:accent4>
      <a:accent5>
        <a:srgbClr val="DA695B"/>
      </a:accent5>
      <a:accent6>
        <a:srgbClr val="956895"/>
      </a:accent6>
      <a:hlink>
        <a:srgbClr val="609FC2"/>
      </a:hlink>
      <a:folHlink>
        <a:srgbClr val="956895"/>
      </a:folHlink>
    </a:clrScheme>
    <a:fontScheme name="Check Register">
      <a:majorFont>
        <a:latin typeface="Sylfaen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A1:I21"/>
  <sheetViews>
    <sheetView showGridLines="0" tabSelected="1" zoomScaleNormal="100" workbookViewId="0"/>
  </sheetViews>
  <sheetFormatPr baseColWidth="10" defaultColWidth="9.140625" defaultRowHeight="18.75" customHeight="1" x14ac:dyDescent="0.3"/>
  <cols>
    <col min="1" max="1" width="3.85546875" customWidth="1"/>
    <col min="2" max="2" width="18.28515625" customWidth="1"/>
    <col min="3" max="3" width="17.85546875" customWidth="1"/>
    <col min="4" max="4" width="33.140625" customWidth="1"/>
    <col min="5" max="5" width="43" customWidth="1"/>
    <col min="6" max="6" width="18.42578125" customWidth="1"/>
    <col min="7" max="8" width="16.5703125" customWidth="1"/>
    <col min="9" max="9" width="3.28515625" customWidth="1"/>
  </cols>
  <sheetData>
    <row r="1" spans="1:9" ht="55.5" customHeight="1" x14ac:dyDescent="0.3">
      <c r="A1" s="3" t="s">
        <v>0</v>
      </c>
      <c r="G1" s="1"/>
      <c r="I1" t="s">
        <v>21</v>
      </c>
    </row>
    <row r="2" spans="1:9" ht="18.75" customHeight="1" x14ac:dyDescent="0.3">
      <c r="B2" s="2" t="s">
        <v>14</v>
      </c>
      <c r="C2" s="2"/>
      <c r="D2" s="2"/>
      <c r="G2" s="2" t="s">
        <v>15</v>
      </c>
      <c r="H2" s="2"/>
      <c r="I2" t="s">
        <v>21</v>
      </c>
    </row>
    <row r="3" spans="1:9" s="7" customFormat="1" ht="4.5" customHeight="1" x14ac:dyDescent="0.3">
      <c r="B3" s="8"/>
      <c r="C3" s="8"/>
      <c r="D3" s="8"/>
      <c r="G3" s="9"/>
      <c r="H3" s="9"/>
    </row>
    <row r="4" spans="1:9" ht="15" customHeight="1" x14ac:dyDescent="0.35">
      <c r="B4" s="6" t="s">
        <v>22</v>
      </c>
      <c r="C4" s="4"/>
      <c r="D4" s="6" t="s">
        <v>24</v>
      </c>
      <c r="G4" s="26">
        <f>LivreChèques[[#Totals],[SOLDE]]</f>
        <v>3311</v>
      </c>
      <c r="H4" s="26"/>
    </row>
    <row r="5" spans="1:9" ht="15" customHeight="1" x14ac:dyDescent="0.35">
      <c r="B5" s="6" t="s">
        <v>27</v>
      </c>
      <c r="C5" s="4"/>
      <c r="D5" s="6" t="s">
        <v>25</v>
      </c>
      <c r="G5" s="26"/>
      <c r="H5" s="26"/>
    </row>
    <row r="6" spans="1:9" ht="15" customHeight="1" x14ac:dyDescent="0.35">
      <c r="B6" s="6" t="s">
        <v>23</v>
      </c>
      <c r="C6" s="4"/>
      <c r="D6" s="6" t="s">
        <v>26</v>
      </c>
      <c r="G6" s="5"/>
      <c r="H6" s="5"/>
    </row>
    <row r="7" spans="1:9" ht="12" customHeight="1" x14ac:dyDescent="0.3"/>
    <row r="8" spans="1:9" ht="18.75" customHeight="1" x14ac:dyDescent="0.3">
      <c r="B8" s="10" t="s">
        <v>29</v>
      </c>
      <c r="C8" s="11" t="s">
        <v>16</v>
      </c>
      <c r="D8" s="12" t="s">
        <v>17</v>
      </c>
      <c r="E8" s="12" t="s">
        <v>18</v>
      </c>
      <c r="F8" s="13" t="s">
        <v>28</v>
      </c>
      <c r="G8" s="13" t="s">
        <v>19</v>
      </c>
      <c r="H8" s="11" t="s">
        <v>20</v>
      </c>
    </row>
    <row r="9" spans="1:9" ht="18.75" customHeight="1" x14ac:dyDescent="0.3">
      <c r="B9" s="14"/>
      <c r="C9" s="15">
        <v>40912</v>
      </c>
      <c r="D9" s="16" t="s">
        <v>2</v>
      </c>
      <c r="E9" s="16" t="s">
        <v>1</v>
      </c>
      <c r="F9" s="24"/>
      <c r="G9" s="24">
        <v>2000</v>
      </c>
      <c r="H9" s="24">
        <f>LivreChèques[[#This Row],[DÉPÔT]]</f>
        <v>2000</v>
      </c>
    </row>
    <row r="10" spans="1:9" ht="18.75" customHeight="1" x14ac:dyDescent="0.3">
      <c r="B10" s="14">
        <v>1001</v>
      </c>
      <c r="C10" s="15">
        <v>40923</v>
      </c>
      <c r="D10" s="16" t="s">
        <v>3</v>
      </c>
      <c r="E10" s="16" t="s">
        <v>4</v>
      </c>
      <c r="F10" s="24">
        <v>100</v>
      </c>
      <c r="G10" s="24"/>
      <c r="H10" s="24">
        <f>IF(ISBLANK(LivreChèques[[#This Row],[RETRAIT]]),H9+LivreChèques[[#This Row],[DÉPÔT]],H9-LivreChèques[[#This Row],[RETRAIT]])</f>
        <v>1900</v>
      </c>
    </row>
    <row r="11" spans="1:9" ht="18.75" customHeight="1" x14ac:dyDescent="0.3">
      <c r="B11" s="14" t="s">
        <v>9</v>
      </c>
      <c r="C11" s="15">
        <v>40923</v>
      </c>
      <c r="D11" s="16" t="s">
        <v>5</v>
      </c>
      <c r="E11" s="16"/>
      <c r="F11" s="24"/>
      <c r="G11" s="24">
        <v>1500</v>
      </c>
      <c r="H11" s="24">
        <f>IF(ISBLANK(LivreChèques[[#This Row],[RETRAIT]]),H10+LivreChèques[[#This Row],[DÉPÔT]],H10-LivreChèques[[#This Row],[RETRAIT]])</f>
        <v>3400</v>
      </c>
    </row>
    <row r="12" spans="1:9" ht="18.75" customHeight="1" x14ac:dyDescent="0.3">
      <c r="B12" s="14" t="s">
        <v>7</v>
      </c>
      <c r="C12" s="15">
        <v>40926</v>
      </c>
      <c r="D12" s="16" t="s">
        <v>8</v>
      </c>
      <c r="E12" s="16" t="s">
        <v>11</v>
      </c>
      <c r="F12" s="24">
        <v>16</v>
      </c>
      <c r="G12" s="24"/>
      <c r="H12" s="24">
        <f>IF(ISBLANK(LivreChèques[[#This Row],[RETRAIT]]),H11+LivreChèques[[#This Row],[DÉPÔT]],H11-LivreChèques[[#This Row],[RETRAIT]])</f>
        <v>3384</v>
      </c>
    </row>
    <row r="13" spans="1:9" ht="18.75" customHeight="1" x14ac:dyDescent="0.3">
      <c r="B13" s="14" t="s">
        <v>6</v>
      </c>
      <c r="C13" s="15">
        <v>40931</v>
      </c>
      <c r="D13" s="16"/>
      <c r="E13" s="16" t="s">
        <v>10</v>
      </c>
      <c r="F13" s="24">
        <v>50</v>
      </c>
      <c r="G13" s="24"/>
      <c r="H13" s="24">
        <f>IF(ISBLANK(LivreChèques[[#This Row],[RETRAIT]]),H12+LivreChèques[[#This Row],[DÉPÔT]],H12-LivreChèques[[#This Row],[RETRAIT]])</f>
        <v>3334</v>
      </c>
    </row>
    <row r="14" spans="1:9" ht="18.75" customHeight="1" x14ac:dyDescent="0.3">
      <c r="B14" s="14" t="s">
        <v>13</v>
      </c>
      <c r="C14" s="15">
        <v>40932</v>
      </c>
      <c r="D14" s="16" t="s">
        <v>30</v>
      </c>
      <c r="E14" s="16"/>
      <c r="F14" s="24">
        <v>23</v>
      </c>
      <c r="G14" s="24"/>
      <c r="H14" s="24">
        <f>IF(ISBLANK(LivreChèques[[#This Row],[RETRAIT]]),H13+LivreChèques[[#This Row],[DÉPÔT]],H13-LivreChèques[[#This Row],[RETRAIT]])</f>
        <v>3311</v>
      </c>
    </row>
    <row r="15" spans="1:9" ht="18.75" customHeight="1" x14ac:dyDescent="0.3">
      <c r="B15" s="21" t="s">
        <v>12</v>
      </c>
      <c r="C15" s="22"/>
      <c r="D15" s="21" t="str">
        <f>CONCATENATE("Nombre de transactions : ",SUBTOTAL(103,LivreChèques[TRANSACTION]))</f>
        <v>Nombre de transactions : 5</v>
      </c>
      <c r="E15" s="23"/>
      <c r="F15" s="25">
        <f>SUBTOTAL(109,LivreChèques[RETRAIT])</f>
        <v>189</v>
      </c>
      <c r="G15" s="25">
        <f>SUBTOTAL(109,LivreChèques[DÉPÔT])</f>
        <v>3500</v>
      </c>
      <c r="H15" s="25">
        <f>LivreChèques[[#Totals],[DÉPÔT]]-LivreChèques[[#Totals],[RETRAIT]]</f>
        <v>3311</v>
      </c>
    </row>
    <row r="21" spans="2:8" ht="18.75" customHeight="1" x14ac:dyDescent="0.3">
      <c r="B21" s="17"/>
      <c r="C21" s="18"/>
      <c r="D21" s="17"/>
      <c r="E21" s="19"/>
      <c r="F21" s="20"/>
      <c r="G21" s="20"/>
      <c r="H21" s="20"/>
    </row>
  </sheetData>
  <mergeCells count="1">
    <mergeCell ref="G4:H5"/>
  </mergeCells>
  <conditionalFormatting sqref="F9:G14">
    <cfRule type="expression" dxfId="15" priority="1">
      <formula>AND($F9&gt;0,$G9&gt;0)</formula>
    </cfRule>
  </conditionalFormatting>
  <dataValidations count="1">
    <dataValidation allowBlank="1" showInputMessage="1" sqref="B9:B14"/>
  </dataValidations>
  <printOptions horizontalCentered="1"/>
  <pageMargins left="0.25" right="0.25" top="0.75" bottom="0.75" header="0.3" footer="0.3"/>
  <pageSetup fitToHeight="0" orientation="portrait" r:id="rId1"/>
  <headerFooter differentFirst="1">
    <oddFooter>Page &amp;P of &amp;N</oddFooter>
  </headerFooter>
  <ignoredErrors>
    <ignoredError sqref="H9" calculatedColumn="1"/>
  </ignoredErrors>
  <tableParts count="1">
    <tablePart r:id="rId2"/>
  </tableParts>
</worksheet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2.xml><?xml version="1.0" encoding="utf-8"?>
<ds:datastoreItem xmlns:ds="http://schemas.openxmlformats.org/officeDocument/2006/customXml" ds:itemID="{2908EC11-AD24-4DB4-97D5-6B1ECDC1FFB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Registre de chèques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/>
  <dc:creator/>
  <lastModifiedBy/>
  <keywords/>
  <dcterms:modified xsi:type="dcterms:W3CDTF">2012-11-21T11:21:43.0000000Z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TC034273679991</vt:lpwstr>
  </property>
</Properties>
</file>